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2007" windowHeight="7380"/>
  </bookViews>
  <sheets>
    <sheet name="Nifty" sheetId="1" r:id="rId1"/>
    <sheet name="Bank-Nifty" sheetId="2" r:id="rId2"/>
    <sheet name="Sensex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3" l="1"/>
  <c r="H8" i="3"/>
  <c r="H9" i="3"/>
  <c r="H7" i="2"/>
  <c r="H8" i="2"/>
  <c r="H9" i="2"/>
  <c r="F1" i="3"/>
  <c r="G1" i="3"/>
  <c r="H1" i="3"/>
  <c r="I1" i="3"/>
  <c r="F2" i="3"/>
  <c r="G2" i="3"/>
  <c r="H2" i="3"/>
  <c r="I2" i="3"/>
  <c r="F3" i="3"/>
  <c r="G3" i="3"/>
  <c r="H3" i="3"/>
  <c r="I3" i="3"/>
  <c r="F4" i="3"/>
  <c r="G4" i="3"/>
  <c r="H4" i="3"/>
  <c r="I4" i="3"/>
  <c r="F5" i="3"/>
  <c r="G5" i="3"/>
  <c r="H5" i="3"/>
  <c r="I5" i="3"/>
  <c r="F6" i="3"/>
  <c r="G6" i="3"/>
  <c r="H6" i="3"/>
  <c r="I6" i="3"/>
  <c r="F7" i="3"/>
  <c r="G7" i="3"/>
  <c r="F8" i="3"/>
  <c r="G8" i="3"/>
  <c r="F9" i="3"/>
  <c r="G9" i="3"/>
  <c r="F10" i="3"/>
  <c r="G10" i="3"/>
  <c r="F11" i="3"/>
  <c r="G11" i="3"/>
  <c r="H11" i="3"/>
  <c r="I11" i="3"/>
  <c r="F1" i="2"/>
  <c r="G1" i="2"/>
  <c r="H1" i="2"/>
  <c r="I1" i="2"/>
  <c r="F2" i="2"/>
  <c r="G2" i="2"/>
  <c r="H2" i="2"/>
  <c r="I2" i="2"/>
  <c r="F3" i="2"/>
  <c r="G3" i="2"/>
  <c r="H3" i="2"/>
  <c r="I3" i="2"/>
  <c r="F4" i="2"/>
  <c r="G4" i="2"/>
  <c r="H4" i="2"/>
  <c r="I4" i="2"/>
  <c r="F5" i="2"/>
  <c r="G5" i="2"/>
  <c r="H5" i="2"/>
  <c r="I5" i="2"/>
  <c r="F6" i="2"/>
  <c r="G6" i="2"/>
  <c r="H6" i="2"/>
  <c r="I6" i="2"/>
  <c r="F7" i="2"/>
  <c r="G7" i="2"/>
  <c r="F8" i="2"/>
  <c r="G8" i="2"/>
  <c r="F9" i="2"/>
  <c r="G9" i="2"/>
  <c r="F10" i="2"/>
  <c r="G10" i="2"/>
  <c r="F11" i="2"/>
  <c r="G11" i="2"/>
  <c r="H11" i="2"/>
  <c r="I11" i="2"/>
  <c r="O10" i="3" l="1"/>
  <c r="N10" i="3"/>
  <c r="M10" i="3"/>
  <c r="O5" i="3"/>
  <c r="N5" i="3"/>
  <c r="M5" i="3"/>
  <c r="O10" i="2"/>
  <c r="N10" i="2"/>
  <c r="M10" i="2"/>
  <c r="O5" i="2"/>
  <c r="N5" i="2"/>
  <c r="M5" i="2"/>
  <c r="O10" i="1"/>
  <c r="N10" i="1"/>
  <c r="M10" i="1"/>
  <c r="O5" i="1"/>
  <c r="N5" i="1"/>
  <c r="M5" i="1"/>
</calcChain>
</file>

<file path=xl/sharedStrings.xml><?xml version="1.0" encoding="utf-8"?>
<sst xmlns="http://schemas.openxmlformats.org/spreadsheetml/2006/main" count="224" uniqueCount="96">
  <si>
    <t>PE</t>
  </si>
  <si>
    <t>Lot</t>
  </si>
  <si>
    <t>CE</t>
  </si>
  <si>
    <t>Strike</t>
  </si>
  <si>
    <t>Qty/Lot</t>
  </si>
  <si>
    <t>Nifty-50</t>
  </si>
  <si>
    <t>Bank Nifty</t>
  </si>
  <si>
    <t>Sensex</t>
  </si>
  <si>
    <t>Expiry</t>
  </si>
  <si>
    <t>Avail. Marg.</t>
  </si>
  <si>
    <t>Used. Marg.</t>
  </si>
  <si>
    <t>UpStox PNL</t>
  </si>
  <si>
    <t>Log - Profit</t>
  </si>
  <si>
    <t>Log - Brokerage</t>
  </si>
  <si>
    <t>Log - Net Profit</t>
  </si>
  <si>
    <t>Profit Trades</t>
  </si>
  <si>
    <t>Loss Trades</t>
  </si>
  <si>
    <t>Total Trades</t>
  </si>
  <si>
    <t>Buy</t>
  </si>
  <si>
    <t>CE-PE</t>
  </si>
  <si>
    <t>Sell</t>
  </si>
  <si>
    <t>Refresh Data : Press r</t>
  </si>
  <si>
    <t>Failed : CE-PE Lot Size Exceeded than Max Allowed</t>
  </si>
  <si>
    <t>Index</t>
  </si>
  <si>
    <t>Type</t>
  </si>
  <si>
    <t>Buy Qty</t>
  </si>
  <si>
    <t>Entry Price</t>
  </si>
  <si>
    <t>Exit Price</t>
  </si>
  <si>
    <t>LTP</t>
  </si>
  <si>
    <t>Points</t>
  </si>
  <si>
    <t>Profit</t>
  </si>
  <si>
    <t>Brokerage</t>
  </si>
  <si>
    <t>Net Profit</t>
  </si>
  <si>
    <t>Gain</t>
  </si>
  <si>
    <t>Margin</t>
  </si>
  <si>
    <t>Position Closed Successfully</t>
  </si>
  <si>
    <t>Max Lot</t>
  </si>
  <si>
    <t>CE - LTP</t>
  </si>
  <si>
    <t>PE - LTP</t>
  </si>
  <si>
    <t>Buy Break-Out</t>
  </si>
  <si>
    <t>BBO</t>
  </si>
  <si>
    <t>Buy Limit Order</t>
  </si>
  <si>
    <t>BLO</t>
  </si>
  <si>
    <t>bbo</t>
  </si>
  <si>
    <t>Trade Accuracy</t>
  </si>
  <si>
    <t>Trade From Excel</t>
  </si>
  <si>
    <t>RSI &gt; 55</t>
  </si>
  <si>
    <t>EMA 9 &gt; EMA 21</t>
  </si>
  <si>
    <t>LTP ABOVE VWAP</t>
  </si>
  <si>
    <t>OBSERVE IMPORTANT LEVELS</t>
  </si>
  <si>
    <t>ALWAYS TRADE IN TREND</t>
  </si>
  <si>
    <t>AVOID DOWNTREND &amp; SIDEWAYS</t>
  </si>
  <si>
    <t>READ…READ…READ !!!!!</t>
  </si>
  <si>
    <t>AFTER SPIKE ENTRY AT CANDLE LOW AT EMA LEVELS : PATIENCE</t>
  </si>
  <si>
    <t>Observe C/O of all 3 &amp; Candle Volume</t>
  </si>
  <si>
    <t>595 Qty</t>
  </si>
  <si>
    <t>20 Qty</t>
  </si>
  <si>
    <t>AFTER SPIKE, ENTRY AT CANDLE LOW AT EMA LEVELS : PATIENCE</t>
  </si>
  <si>
    <t>V - Profit</t>
  </si>
  <si>
    <t>V - Brokerage</t>
  </si>
  <si>
    <t>V - Net Profit</t>
  </si>
  <si>
    <t>Live Trade From Excel</t>
  </si>
  <si>
    <t>Trade CE</t>
  </si>
  <si>
    <t>Trade PE</t>
  </si>
  <si>
    <t>Positives &amp; Negatives (Virt)</t>
  </si>
  <si>
    <t>Positives &amp; Negatives (Real)</t>
  </si>
  <si>
    <t>Timer (Seconds)</t>
  </si>
  <si>
    <t>Target (+ve)</t>
  </si>
  <si>
    <t>Stop Loss (-ve)</t>
  </si>
  <si>
    <t>CE-PE : 0 Lot</t>
  </si>
  <si>
    <t>0 Rs</t>
  </si>
  <si>
    <t>Reset Target</t>
  </si>
  <si>
    <t>0 Lot</t>
  </si>
  <si>
    <t>6 DTE (Tue)</t>
  </si>
  <si>
    <t>Bank-Nifty : Mohit Sharma | Today : 24-12-2025 / Wednesday | 02:22:26 PM</t>
  </si>
  <si>
    <t>Synthetic ATM Strike : 59300</t>
  </si>
  <si>
    <t>Synthetic ATM Strike : 85400</t>
  </si>
  <si>
    <t>1 Lot</t>
  </si>
  <si>
    <t>2 Lot</t>
  </si>
  <si>
    <t>CE-PE : 1 Lot</t>
  </si>
  <si>
    <t>Nifty</t>
  </si>
  <si>
    <t>10426 Rs</t>
  </si>
  <si>
    <t>2 DTE (Thu)</t>
  </si>
  <si>
    <t>8458 Rs</t>
  </si>
  <si>
    <t>Sensex : Mohit Sharma | Today : 06-01-2026 / Tuesday | 10:16:22 AM</t>
  </si>
  <si>
    <t>6197 Rs</t>
  </si>
  <si>
    <t>195 Qty</t>
  </si>
  <si>
    <t>None %</t>
  </si>
  <si>
    <t>Synthetic ATM Strike : 25550</t>
  </si>
  <si>
    <t>6 Lot</t>
  </si>
  <si>
    <t>CE-PE : 3 Lot</t>
  </si>
  <si>
    <t>1 DTE (Tue)</t>
  </si>
  <si>
    <t>27485 Rs</t>
  </si>
  <si>
    <t>26773 Rs</t>
  </si>
  <si>
    <t>Nifty : Mohit Sharma | Today : 19-01-2026 / Monday | 01:22:14 PM</t>
  </si>
  <si>
    <t>28196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</si>
</sst>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4" fillId="7" borderId="25" applyNumberFormat="0" applyAlignment="0" applyProtection="0"/>
  </cellStyleXfs>
  <cellXfs count="150">
    <xf numFmtId="0" fontId="0" fillId="0" borderId="0" xfId="0"/>
    <xf numFmtId="10" fontId="0" fillId="0" borderId="0" xfId="0" applyNumberFormat="1"/>
    <xf numFmtId="0" fontId="0" fillId="3" borderId="7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64" fontId="0" fillId="3" borderId="15" xfId="0" applyNumberFormat="1" applyFill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0" fontId="0" fillId="5" borderId="0" xfId="0" applyFill="1"/>
    <xf numFmtId="0" fontId="0" fillId="6" borderId="17" xfId="0" applyFill="1" applyBorder="1"/>
    <xf numFmtId="0" fontId="0" fillId="6" borderId="18" xfId="0" applyFill="1" applyBorder="1"/>
    <xf numFmtId="0" fontId="0" fillId="0" borderId="20" xfId="0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3" borderId="7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2" xfId="0" applyFill="1" applyBorder="1"/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6" xfId="0" applyFill="1" applyBorder="1"/>
    <xf numFmtId="0" fontId="0" fillId="0" borderId="29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3" borderId="38" xfId="0" applyFill="1" applyBorder="1" applyAlignment="1">
      <alignment horizontal="center"/>
    </xf>
    <xf numFmtId="10" fontId="0" fillId="3" borderId="13" xfId="0" applyNumberFormat="1" applyFill="1" applyBorder="1" applyAlignment="1">
      <alignment horizontal="left"/>
    </xf>
    <xf numFmtId="0" fontId="0" fillId="3" borderId="12" xfId="0" applyFill="1" applyBorder="1"/>
    <xf numFmtId="0" fontId="0" fillId="3" borderId="13" xfId="0" applyFill="1" applyBorder="1" applyAlignment="1">
      <alignment horizontal="left"/>
    </xf>
    <xf numFmtId="0" fontId="0" fillId="3" borderId="38" xfId="0" applyFill="1" applyBorder="1" applyAlignment="1">
      <alignment horizontal="left"/>
    </xf>
    <xf numFmtId="0" fontId="0" fillId="3" borderId="9" xfId="0" applyFill="1" applyBorder="1"/>
    <xf numFmtId="0" fontId="0" fillId="3" borderId="1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6" borderId="14" xfId="0" applyFill="1" applyBorder="1"/>
    <xf numFmtId="0" fontId="0" fillId="6" borderId="32" xfId="0" applyFill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 applyAlignment="1">
      <alignment horizontal="left"/>
    </xf>
    <xf numFmtId="0" fontId="0" fillId="6" borderId="16" xfId="0" applyFill="1" applyBorder="1"/>
    <xf numFmtId="0" fontId="0" fillId="3" borderId="31" xfId="0" applyFill="1" applyBorder="1"/>
    <xf numFmtId="0" fontId="0" fillId="2" borderId="33" xfId="0" applyFill="1" applyBorder="1"/>
    <xf numFmtId="0" fontId="0" fillId="3" borderId="20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4" xfId="0" applyFill="1" applyBorder="1"/>
    <xf numFmtId="0" fontId="0" fillId="0" borderId="24" xfId="0" applyBorder="1"/>
    <xf numFmtId="14" fontId="0" fillId="3" borderId="24" xfId="0" applyNumberFormat="1" applyFill="1" applyBorder="1"/>
    <xf numFmtId="0" fontId="0" fillId="3" borderId="2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6" xfId="0" applyFill="1" applyBorder="1"/>
    <xf numFmtId="0" fontId="0" fillId="3" borderId="3" xfId="0" applyFill="1" applyBorder="1"/>
    <xf numFmtId="0" fontId="0" fillId="3" borderId="27" xfId="0" applyFill="1" applyBorder="1"/>
    <xf numFmtId="0" fontId="0" fillId="6" borderId="8" xfId="0" applyFill="1" applyBorder="1"/>
    <xf numFmtId="0" fontId="0" fillId="0" borderId="51" xfId="0" applyBorder="1" applyAlignment="1">
      <alignment horizontal="center"/>
    </xf>
    <xf numFmtId="0" fontId="0" fillId="6" borderId="52" xfId="0" applyFill="1" applyBorder="1"/>
    <xf numFmtId="0" fontId="0" fillId="3" borderId="53" xfId="0" applyFill="1" applyBorder="1" applyAlignment="1">
      <alignment horizontal="center"/>
    </xf>
    <xf numFmtId="0" fontId="0" fillId="3" borderId="50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2" fillId="6" borderId="12" xfId="1" applyFont="1" applyFill="1" applyBorder="1" applyProtection="1"/>
    <xf numFmtId="0" fontId="0" fillId="8" borderId="10" xfId="0" applyFill="1" applyBorder="1"/>
    <xf numFmtId="0" fontId="0" fillId="8" borderId="11" xfId="0" applyFill="1" applyBorder="1"/>
    <xf numFmtId="0" fontId="0" fillId="8" borderId="1" xfId="0" applyFill="1" applyBorder="1"/>
    <xf numFmtId="0" fontId="0" fillId="8" borderId="13" xfId="0" applyFill="1" applyBorder="1"/>
    <xf numFmtId="0" fontId="0" fillId="9" borderId="1" xfId="0" applyFill="1" applyBorder="1"/>
    <xf numFmtId="0" fontId="0" fillId="9" borderId="13" xfId="0" applyFill="1" applyBorder="1"/>
    <xf numFmtId="0" fontId="0" fillId="4" borderId="15" xfId="0" applyFill="1" applyBorder="1" applyAlignment="1">
      <alignment horizontal="center"/>
    </xf>
    <xf numFmtId="0" fontId="0" fillId="0" borderId="26" xfId="0" applyFill="1" applyBorder="1"/>
    <xf numFmtId="0" fontId="5" fillId="0" borderId="38" xfId="0" applyFont="1" applyFill="1" applyBorder="1" applyAlignment="1">
      <alignment horizontal="center" vertical="center" wrapText="1"/>
    </xf>
    <xf numFmtId="0" fontId="5" fillId="0" borderId="39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0" fontId="0" fillId="5" borderId="46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0" borderId="1" xfId="0" applyFill="1" applyBorder="1"/>
    <xf numFmtId="0" fontId="0" fillId="0" borderId="13" xfId="0" applyFill="1" applyBorder="1"/>
    <xf numFmtId="0" fontId="0" fillId="0" borderId="15" xfId="0" applyFill="1" applyBorder="1"/>
    <xf numFmtId="0" fontId="0" fillId="0" borderId="16" xfId="0" applyFill="1" applyBorder="1"/>
    <xf numFmtId="0" fontId="0" fillId="0" borderId="1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0" fillId="0" borderId="20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5" fillId="4" borderId="38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0" fillId="4" borderId="37" xfId="0" applyFill="1" applyBorder="1"/>
    <xf numFmtId="0" fontId="0" fillId="4" borderId="26" xfId="0" applyFill="1" applyBorder="1"/>
    <xf numFmtId="0" fontId="0" fillId="3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2" xfId="0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0" fillId="4" borderId="13" xfId="0" applyFill="1" applyBorder="1" applyAlignment="1">
      <alignment horizontal="left" wrapText="1"/>
    </xf>
    <xf numFmtId="0" fontId="0" fillId="4" borderId="12" xfId="0" applyFill="1" applyBorder="1"/>
    <xf numFmtId="0" fontId="0" fillId="4" borderId="1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0" borderId="37" xfId="0" applyFill="1" applyBorder="1"/>
    <xf numFmtId="0" fontId="0" fillId="0" borderId="17" xfId="0" applyFill="1" applyBorder="1" applyAlignment="1">
      <alignment horizontal="center"/>
    </xf>
    <xf numFmtId="0" fontId="0" fillId="0" borderId="12" xfId="0" applyFill="1" applyBorder="1" applyAlignment="1">
      <alignment horizontal="left" wrapText="1"/>
    </xf>
    <xf numFmtId="0" fontId="0" fillId="0" borderId="12" xfId="0" applyFill="1" applyBorder="1"/>
    <xf numFmtId="0" fontId="0" fillId="0" borderId="14" xfId="0" applyFill="1" applyBorder="1"/>
    <xf numFmtId="0" fontId="0" fillId="4" borderId="6" xfId="0" applyFill="1" applyBorder="1" applyAlignment="1">
      <alignment horizontal="center"/>
    </xf>
    <xf numFmtId="0" fontId="0" fillId="4" borderId="40" xfId="0" applyFill="1" applyBorder="1"/>
    <xf numFmtId="0" fontId="0" fillId="4" borderId="26" xfId="0" applyFill="1" applyBorder="1" applyAlignment="1">
      <alignment horizontal="left" wrapText="1"/>
    </xf>
    <xf numFmtId="0" fontId="0" fillId="4" borderId="27" xfId="0" applyFill="1" applyBorder="1"/>
  </cellXfs>
  <cellStyles count="2">
    <cellStyle name="Check Cell" xfId="1" builtinId="23"/>
    <cellStyle name="Normal" xfId="0" builtinId="0"/>
  </cellStyles>
  <dxfs count="1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zoomScale="115" zoomScaleNormal="115" workbookViewId="0">
      <selection activeCell="E23" sqref="E23"/>
    </sheetView>
  </sheetViews>
  <sheetFormatPr defaultRowHeight="14.35" x14ac:dyDescent="0.5"/>
  <cols>
    <col min="1" max="1" width="1.76171875" bestFit="1" customWidth="1"/>
    <col min="2" max="2" width="13.234375" bestFit="1" customWidth="1"/>
    <col min="3" max="3" width="8.76171875" bestFit="1" customWidth="1"/>
    <col min="4" max="4" width="10.3515625" bestFit="1" customWidth="1"/>
    <col min="5" max="5" width="12.234375" bestFit="1" customWidth="1"/>
    <col min="6" max="6" width="13.1171875" bestFit="1" customWidth="1"/>
    <col min="7" max="7" width="9.3515625" bestFit="1" customWidth="1"/>
    <col min="8" max="8" width="13.52734375" bestFit="1" customWidth="1"/>
    <col min="9" max="9" width="7.64453125" bestFit="1" customWidth="1"/>
    <col min="10" max="10" width="5.64453125" bestFit="1" customWidth="1"/>
    <col min="11" max="11" width="11.234375" customWidth="1"/>
    <col min="12" max="12" width="28.41015625" bestFit="1" customWidth="1"/>
    <col min="13" max="14" width="9.41015625" customWidth="1"/>
    <col min="15" max="15" width="10" customWidth="1"/>
    <col min="16" max="16" width="10.87890625" bestFit="1" customWidth="1"/>
    <col min="17" max="17" width="6.87890625" bestFit="1" customWidth="1"/>
  </cols>
  <sheetData>
    <row r="1" spans="1:15" ht="14.7" thickBot="1" x14ac:dyDescent="0.55000000000000004">
      <c r="B1" s="39" t="s">
        <v>5</v>
      </c>
      <c r="C1" s="52">
        <v>25542.05</v>
      </c>
      <c r="D1" s="69" t="s">
        <v>36</v>
      </c>
      <c r="E1" s="70">
        <v>27</v>
      </c>
      <c r="F1" s="53" t="s">
        <v>9</v>
      </c>
      <c r="G1" s="24">
        <v>28255.040000000001</v>
      </c>
      <c r="H1" s="84" t="s">
        <v>65</v>
      </c>
      <c r="I1" s="85"/>
      <c r="J1" s="106" t="s">
        <v>94</v>
      </c>
      <c r="K1" s="107"/>
      <c r="L1" s="107"/>
      <c r="M1" s="107"/>
      <c r="N1" s="107"/>
      <c r="O1" s="108"/>
    </row>
    <row r="2" spans="1:15" ht="14.7" thickBot="1" x14ac:dyDescent="0.55000000000000004">
      <c r="B2" s="36" t="s">
        <v>4</v>
      </c>
      <c r="C2" s="57">
        <v>65</v>
      </c>
      <c r="D2" s="30" t="s">
        <v>2</v>
      </c>
      <c r="E2" s="34" t="s">
        <v>0</v>
      </c>
      <c r="F2" s="28" t="s">
        <v>10</v>
      </c>
      <c r="G2" s="5">
        <v>0</v>
      </c>
      <c r="H2" s="3"/>
      <c r="I2" s="30"/>
      <c r="J2" s="109" t="s">
        <v>61</v>
      </c>
      <c r="K2" s="110"/>
      <c r="L2" s="110"/>
      <c r="M2" s="89" t="s">
        <v>18</v>
      </c>
      <c r="N2" s="90"/>
      <c r="O2" s="91"/>
    </row>
    <row r="3" spans="1:15" x14ac:dyDescent="0.5">
      <c r="B3" s="36" t="s">
        <v>1</v>
      </c>
      <c r="C3" s="58">
        <v>3</v>
      </c>
      <c r="D3" s="61" t="s">
        <v>89</v>
      </c>
      <c r="E3" s="71" t="s">
        <v>89</v>
      </c>
      <c r="F3" s="28" t="s">
        <v>11</v>
      </c>
      <c r="G3" s="5">
        <v>0</v>
      </c>
      <c r="H3" s="4" t="s">
        <v>44</v>
      </c>
      <c r="I3" s="35" t="s">
        <v>87</v>
      </c>
      <c r="J3" s="146" t="s">
        <v>52</v>
      </c>
      <c r="K3" s="130"/>
      <c r="L3" s="131"/>
      <c r="M3" s="42" t="s">
        <v>2</v>
      </c>
      <c r="N3" s="18" t="s">
        <v>0</v>
      </c>
      <c r="O3" s="48" t="s">
        <v>19</v>
      </c>
    </row>
    <row r="4" spans="1:15" x14ac:dyDescent="0.5">
      <c r="B4" s="36" t="s">
        <v>8</v>
      </c>
      <c r="C4" s="59">
        <v>46042</v>
      </c>
      <c r="D4" s="62" t="s">
        <v>93</v>
      </c>
      <c r="E4" s="71" t="s">
        <v>95</v>
      </c>
      <c r="F4" s="63" t="s">
        <v>12</v>
      </c>
      <c r="G4" s="4"/>
      <c r="H4" s="4" t="s">
        <v>15</v>
      </c>
      <c r="I4" s="37"/>
      <c r="J4" s="147" t="s">
        <v>46</v>
      </c>
      <c r="K4" s="123"/>
      <c r="L4" s="119" t="s">
        <v>54</v>
      </c>
      <c r="M4" s="9">
        <v>4572.75</v>
      </c>
      <c r="N4" s="10">
        <v>4553.25</v>
      </c>
      <c r="O4" s="11">
        <v>9174.75</v>
      </c>
    </row>
    <row r="5" spans="1:15" ht="14.7" thickBot="1" x14ac:dyDescent="0.55000000000000004">
      <c r="B5" s="41" t="s">
        <v>37</v>
      </c>
      <c r="C5" s="3" t="s">
        <v>3</v>
      </c>
      <c r="D5" s="62" t="s">
        <v>38</v>
      </c>
      <c r="E5" s="34" t="s">
        <v>90</v>
      </c>
      <c r="F5" s="63" t="s">
        <v>13</v>
      </c>
      <c r="G5" s="4"/>
      <c r="H5" s="4" t="s">
        <v>16</v>
      </c>
      <c r="I5" s="37"/>
      <c r="J5" s="147" t="s">
        <v>47</v>
      </c>
      <c r="K5" s="123"/>
      <c r="L5" s="120"/>
      <c r="M5" s="12">
        <f>M4*$C$3</f>
        <v>13718.25</v>
      </c>
      <c r="N5" s="13">
        <f t="shared" ref="N5:O5" si="0">N4*$C$3</f>
        <v>13659.75</v>
      </c>
      <c r="O5" s="14">
        <f t="shared" si="0"/>
        <v>27524.25</v>
      </c>
    </row>
    <row r="6" spans="1:15" ht="14.7" thickBot="1" x14ac:dyDescent="0.55000000000000004">
      <c r="B6" s="6">
        <v>68.650000000000006</v>
      </c>
      <c r="C6" s="7">
        <v>25550</v>
      </c>
      <c r="D6" s="33">
        <v>72.3</v>
      </c>
      <c r="E6" s="55" t="s">
        <v>92</v>
      </c>
      <c r="F6" s="64" t="s">
        <v>14</v>
      </c>
      <c r="G6" s="22"/>
      <c r="H6" s="22" t="s">
        <v>17</v>
      </c>
      <c r="I6" s="38"/>
      <c r="J6" s="147" t="s">
        <v>48</v>
      </c>
      <c r="K6" s="123"/>
      <c r="L6" s="121"/>
      <c r="M6" s="19">
        <v>-49</v>
      </c>
      <c r="N6" s="20">
        <v>-49</v>
      </c>
      <c r="O6" s="21">
        <v>-98</v>
      </c>
    </row>
    <row r="7" spans="1:15" x14ac:dyDescent="0.5">
      <c r="B7" s="101" t="s">
        <v>88</v>
      </c>
      <c r="C7" s="102"/>
      <c r="D7" s="103"/>
      <c r="E7" s="32" t="s">
        <v>86</v>
      </c>
      <c r="F7" s="53" t="s">
        <v>58</v>
      </c>
      <c r="G7" s="24"/>
      <c r="H7" s="73" t="s">
        <v>66</v>
      </c>
      <c r="I7" s="74">
        <v>50</v>
      </c>
      <c r="J7" s="148" t="s">
        <v>57</v>
      </c>
      <c r="K7" s="133"/>
      <c r="L7" s="134"/>
      <c r="M7" s="92" t="s">
        <v>20</v>
      </c>
      <c r="N7" s="93"/>
      <c r="O7" s="94"/>
    </row>
    <row r="8" spans="1:15" x14ac:dyDescent="0.5">
      <c r="B8" s="98" t="s">
        <v>35</v>
      </c>
      <c r="C8" s="99"/>
      <c r="D8" s="99"/>
      <c r="E8" s="100"/>
      <c r="F8" s="28" t="s">
        <v>59</v>
      </c>
      <c r="G8" s="5"/>
      <c r="H8" s="75" t="s">
        <v>62</v>
      </c>
      <c r="I8" s="76">
        <v>0</v>
      </c>
      <c r="J8" s="148"/>
      <c r="K8" s="133"/>
      <c r="L8" s="134"/>
      <c r="M8" s="6" t="s">
        <v>2</v>
      </c>
      <c r="N8" s="7" t="s">
        <v>0</v>
      </c>
      <c r="O8" s="8" t="s">
        <v>19</v>
      </c>
    </row>
    <row r="9" spans="1:15" x14ac:dyDescent="0.5">
      <c r="B9" s="67">
        <v>0</v>
      </c>
      <c r="C9" s="18" t="s">
        <v>43</v>
      </c>
      <c r="D9" s="29">
        <v>0</v>
      </c>
      <c r="E9" s="56" t="s">
        <v>91</v>
      </c>
      <c r="F9" s="28" t="s">
        <v>60</v>
      </c>
      <c r="G9" s="5"/>
      <c r="H9" s="75" t="s">
        <v>63</v>
      </c>
      <c r="I9" s="76">
        <v>0</v>
      </c>
      <c r="J9" s="123" t="s">
        <v>49</v>
      </c>
      <c r="K9" s="136"/>
      <c r="L9" s="137"/>
      <c r="M9" s="9">
        <v>198779.62</v>
      </c>
      <c r="N9" s="10">
        <v>179042.69499999998</v>
      </c>
      <c r="O9" s="11">
        <v>232072.1</v>
      </c>
    </row>
    <row r="10" spans="1:15" ht="14.7" thickBot="1" x14ac:dyDescent="0.55000000000000004">
      <c r="B10" s="72" t="s">
        <v>39</v>
      </c>
      <c r="C10" s="66" t="s">
        <v>40</v>
      </c>
      <c r="D10" s="3" t="s">
        <v>67</v>
      </c>
      <c r="E10" s="40" t="s">
        <v>68</v>
      </c>
      <c r="F10" s="28" t="s">
        <v>29</v>
      </c>
      <c r="G10" s="5"/>
      <c r="H10" s="77" t="s">
        <v>71</v>
      </c>
      <c r="I10" s="78">
        <v>1</v>
      </c>
      <c r="J10" s="123" t="s">
        <v>50</v>
      </c>
      <c r="K10" s="136"/>
      <c r="L10" s="137"/>
      <c r="M10" s="12">
        <f>M9*$C$3</f>
        <v>596338.86</v>
      </c>
      <c r="N10" s="13">
        <f t="shared" ref="N10:O10" si="1">N9*$C$3</f>
        <v>537128.08499999996</v>
      </c>
      <c r="O10" s="14">
        <f t="shared" si="1"/>
        <v>696216.3</v>
      </c>
    </row>
    <row r="11" spans="1:15" ht="14.7" thickBot="1" x14ac:dyDescent="0.55000000000000004">
      <c r="B11" s="68" t="s">
        <v>41</v>
      </c>
      <c r="C11" s="45" t="s">
        <v>42</v>
      </c>
      <c r="D11" s="79">
        <v>1</v>
      </c>
      <c r="E11" s="47">
        <v>0</v>
      </c>
      <c r="F11" s="104" t="s">
        <v>64</v>
      </c>
      <c r="G11" s="105"/>
      <c r="H11" s="26"/>
      <c r="I11" s="27"/>
      <c r="J11" s="149" t="s">
        <v>51</v>
      </c>
      <c r="K11" s="139"/>
      <c r="L11" s="140"/>
      <c r="M11" s="95" t="s">
        <v>21</v>
      </c>
      <c r="N11" s="96"/>
      <c r="O11" s="97"/>
    </row>
    <row r="12" spans="1:15" ht="14.7" thickBot="1" x14ac:dyDescent="0.55000000000000004">
      <c r="B12" s="86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8"/>
    </row>
    <row r="13" spans="1:15" x14ac:dyDescent="0.5">
      <c r="B13" t="s">
        <v>23</v>
      </c>
      <c r="C13" t="s">
        <v>3</v>
      </c>
      <c r="D13" t="s">
        <v>24</v>
      </c>
      <c r="E13" t="s">
        <v>1</v>
      </c>
      <c r="F13" t="s">
        <v>25</v>
      </c>
      <c r="G13" t="s">
        <v>26</v>
      </c>
      <c r="H13" t="s">
        <v>27</v>
      </c>
      <c r="I13" t="s">
        <v>28</v>
      </c>
      <c r="J13" t="s">
        <v>29</v>
      </c>
      <c r="K13" t="s">
        <v>30</v>
      </c>
      <c r="L13" t="s">
        <v>31</v>
      </c>
      <c r="M13" t="s">
        <v>32</v>
      </c>
      <c r="N13" t="s">
        <v>33</v>
      </c>
      <c r="O13" t="s">
        <v>34</v>
      </c>
    </row>
    <row r="14" spans="1:15" x14ac:dyDescent="0.5">
      <c r="A14">
        <v>0</v>
      </c>
      <c r="B14" t="s">
        <v>80</v>
      </c>
      <c r="C14">
        <v>25800</v>
      </c>
      <c r="D14" t="s">
        <v>2</v>
      </c>
      <c r="E14">
        <v>3</v>
      </c>
      <c r="F14">
        <v>195</v>
      </c>
      <c r="G14" s="15">
        <v>110.35</v>
      </c>
      <c r="H14">
        <v>111.31</v>
      </c>
      <c r="I14" s="15">
        <v>111.45</v>
      </c>
      <c r="J14">
        <v>0.96000000000000796</v>
      </c>
      <c r="K14">
        <v>187.20000000000155</v>
      </c>
      <c r="L14">
        <v>-63</v>
      </c>
      <c r="M14">
        <v>124.20000000000155</v>
      </c>
      <c r="N14" s="1">
        <v>5.7999999999999996E-3</v>
      </c>
      <c r="O14">
        <v>21518.25</v>
      </c>
    </row>
    <row r="16" spans="1:15" x14ac:dyDescent="0.5">
      <c r="B16" t="s">
        <v>23</v>
      </c>
      <c r="C16" t="s">
        <v>3</v>
      </c>
      <c r="D16" t="s">
        <v>24</v>
      </c>
      <c r="E16" t="s">
        <v>1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  <c r="K16" t="s">
        <v>30</v>
      </c>
      <c r="L16" t="s">
        <v>31</v>
      </c>
      <c r="M16" t="s">
        <v>32</v>
      </c>
    </row>
    <row r="17" spans="1:13" x14ac:dyDescent="0.5">
      <c r="A17">
        <v>0</v>
      </c>
      <c r="B17" t="s">
        <v>80</v>
      </c>
      <c r="C17">
        <v>25800</v>
      </c>
      <c r="D17" t="s">
        <v>2</v>
      </c>
      <c r="E17">
        <v>27</v>
      </c>
      <c r="F17">
        <v>1755</v>
      </c>
      <c r="G17" s="15">
        <v>110.35</v>
      </c>
      <c r="H17">
        <v>111.31</v>
      </c>
      <c r="I17" s="15">
        <v>111.45</v>
      </c>
      <c r="J17">
        <v>0.96000000000000796</v>
      </c>
      <c r="K17">
        <v>1684.8000000000141</v>
      </c>
      <c r="L17">
        <v>-386</v>
      </c>
      <c r="M17">
        <v>1298.8000000000141</v>
      </c>
    </row>
    <row r="19" spans="1:13" x14ac:dyDescent="0.5">
      <c r="K19" s="1"/>
    </row>
  </sheetData>
  <mergeCells count="19">
    <mergeCell ref="J7:L8"/>
    <mergeCell ref="J3:L3"/>
    <mergeCell ref="J4:K4"/>
    <mergeCell ref="J5:K5"/>
    <mergeCell ref="J6:K6"/>
    <mergeCell ref="L4:L6"/>
    <mergeCell ref="H1:I1"/>
    <mergeCell ref="B12:O12"/>
    <mergeCell ref="M2:O2"/>
    <mergeCell ref="M7:O7"/>
    <mergeCell ref="M11:O11"/>
    <mergeCell ref="B8:E8"/>
    <mergeCell ref="B7:D7"/>
    <mergeCell ref="F11:G11"/>
    <mergeCell ref="J1:O1"/>
    <mergeCell ref="J2:L2"/>
    <mergeCell ref="J9:L9"/>
    <mergeCell ref="J10:L10"/>
    <mergeCell ref="J11:L11"/>
  </mergeCells>
  <conditionalFormatting sqref="J14:M14">
    <cfRule type="cellIs" dxfId="11" priority="19" operator="lessThan">
      <formula>0</formula>
    </cfRule>
    <cfRule type="cellIs" dxfId="10" priority="20" operator="greaterThan">
      <formula>0</formula>
    </cfRule>
  </conditionalFormatting>
  <conditionalFormatting sqref="J17:M17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7"/>
  <sheetViews>
    <sheetView zoomScale="130" zoomScaleNormal="130" workbookViewId="0">
      <selection activeCell="C3" sqref="C3"/>
    </sheetView>
  </sheetViews>
  <sheetFormatPr defaultRowHeight="14.35" x14ac:dyDescent="0.5"/>
  <cols>
    <col min="1" max="1" width="2.1171875" bestFit="1" customWidth="1"/>
    <col min="2" max="2" width="14.52734375" customWidth="1"/>
    <col min="3" max="3" width="12" customWidth="1"/>
    <col min="4" max="4" width="10.41015625" customWidth="1"/>
    <col min="5" max="5" width="12" customWidth="1"/>
    <col min="6" max="6" width="13.87890625" bestFit="1" customWidth="1"/>
    <col min="8" max="8" width="15.41015625" bestFit="1" customWidth="1"/>
    <col min="11" max="11" width="10.87890625" bestFit="1" customWidth="1"/>
    <col min="12" max="12" width="12.64453125" customWidth="1"/>
    <col min="13" max="15" width="11.3515625" bestFit="1" customWidth="1"/>
  </cols>
  <sheetData>
    <row r="1" spans="2:15" ht="14.7" thickBot="1" x14ac:dyDescent="0.55000000000000004">
      <c r="B1" s="39" t="s">
        <v>6</v>
      </c>
      <c r="C1" s="52">
        <v>59204.55</v>
      </c>
      <c r="D1" s="30" t="s">
        <v>36</v>
      </c>
      <c r="E1" s="31">
        <v>17</v>
      </c>
      <c r="F1" s="53" t="str">
        <f>Nifty!F1</f>
        <v>Avail. Marg.</v>
      </c>
      <c r="G1" s="24">
        <f>Nifty!G1</f>
        <v>28255.040000000001</v>
      </c>
      <c r="H1" s="84" t="str">
        <f>Nifty!H1</f>
        <v>Positives &amp; Negatives (Real)</v>
      </c>
      <c r="I1" s="124">
        <f>Nifty!I1</f>
        <v>0</v>
      </c>
      <c r="J1" s="106" t="s">
        <v>74</v>
      </c>
      <c r="K1" s="107"/>
      <c r="L1" s="107"/>
      <c r="M1" s="107"/>
      <c r="N1" s="107"/>
      <c r="O1" s="108"/>
    </row>
    <row r="2" spans="2:15" ht="14.7" thickBot="1" x14ac:dyDescent="0.55000000000000004">
      <c r="B2" s="36" t="s">
        <v>4</v>
      </c>
      <c r="C2" s="57">
        <v>30</v>
      </c>
      <c r="D2" s="30" t="s">
        <v>2</v>
      </c>
      <c r="E2" s="2" t="s">
        <v>0</v>
      </c>
      <c r="F2" s="28" t="str">
        <f>Nifty!F2</f>
        <v>Used. Marg.</v>
      </c>
      <c r="G2" s="5">
        <f>Nifty!G2</f>
        <v>0</v>
      </c>
      <c r="H2" s="3">
        <f>Nifty!H2</f>
        <v>0</v>
      </c>
      <c r="I2" s="34">
        <f>Nifty!I2</f>
        <v>0</v>
      </c>
      <c r="J2" s="109" t="s">
        <v>45</v>
      </c>
      <c r="K2" s="110"/>
      <c r="L2" s="110"/>
      <c r="M2" s="89" t="s">
        <v>18</v>
      </c>
      <c r="N2" s="90"/>
      <c r="O2" s="91"/>
    </row>
    <row r="3" spans="2:15" x14ac:dyDescent="0.5">
      <c r="B3" s="36" t="s">
        <v>1</v>
      </c>
      <c r="C3" s="58">
        <v>17</v>
      </c>
      <c r="D3" s="61" t="s">
        <v>72</v>
      </c>
      <c r="E3" s="60" t="s">
        <v>72</v>
      </c>
      <c r="F3" s="28" t="str">
        <f>Nifty!F3</f>
        <v>UpStox PNL</v>
      </c>
      <c r="G3" s="5">
        <f>Nifty!G3</f>
        <v>0</v>
      </c>
      <c r="H3" s="4" t="str">
        <f>Nifty!H3</f>
        <v>Trade Accuracy</v>
      </c>
      <c r="I3" s="35" t="str">
        <f>Nifty!I3</f>
        <v>None %</v>
      </c>
      <c r="J3" s="129" t="s">
        <v>52</v>
      </c>
      <c r="K3" s="130"/>
      <c r="L3" s="131"/>
      <c r="M3" s="42" t="s">
        <v>2</v>
      </c>
      <c r="N3" s="18" t="s">
        <v>0</v>
      </c>
      <c r="O3" s="48" t="s">
        <v>19</v>
      </c>
    </row>
    <row r="4" spans="2:15" x14ac:dyDescent="0.5">
      <c r="B4" s="36" t="s">
        <v>8</v>
      </c>
      <c r="C4" s="59">
        <v>46021</v>
      </c>
      <c r="D4" s="62" t="s">
        <v>70</v>
      </c>
      <c r="E4" s="60" t="s">
        <v>70</v>
      </c>
      <c r="F4" s="63" t="str">
        <f>Nifty!F4</f>
        <v>Log - Profit</v>
      </c>
      <c r="G4" s="4">
        <f>Nifty!G4</f>
        <v>0</v>
      </c>
      <c r="H4" s="4" t="str">
        <f>Nifty!H4</f>
        <v>Profit Trades</v>
      </c>
      <c r="I4" s="37">
        <f>Nifty!I4</f>
        <v>0</v>
      </c>
      <c r="J4" s="122" t="s">
        <v>46</v>
      </c>
      <c r="K4" s="123"/>
      <c r="L4" s="119" t="s">
        <v>54</v>
      </c>
      <c r="M4" s="9">
        <v>12332.25</v>
      </c>
      <c r="N4" s="10">
        <v>8704.5</v>
      </c>
      <c r="O4" s="11">
        <v>21036.75</v>
      </c>
    </row>
    <row r="5" spans="2:15" ht="14.7" thickBot="1" x14ac:dyDescent="0.55000000000000004">
      <c r="B5" s="41" t="s">
        <v>37</v>
      </c>
      <c r="C5" s="3" t="s">
        <v>3</v>
      </c>
      <c r="D5" s="62" t="s">
        <v>38</v>
      </c>
      <c r="E5" s="2" t="s">
        <v>69</v>
      </c>
      <c r="F5" s="63" t="str">
        <f>Nifty!F5</f>
        <v>Log - Brokerage</v>
      </c>
      <c r="G5" s="4">
        <f>Nifty!G5</f>
        <v>0</v>
      </c>
      <c r="H5" s="4" t="str">
        <f>Nifty!H5</f>
        <v>Loss Trades</v>
      </c>
      <c r="I5" s="37">
        <f>Nifty!I5</f>
        <v>0</v>
      </c>
      <c r="J5" s="122" t="s">
        <v>47</v>
      </c>
      <c r="K5" s="123"/>
      <c r="L5" s="120"/>
      <c r="M5" s="12">
        <f>M4*$C$3</f>
        <v>209648.25</v>
      </c>
      <c r="N5" s="13">
        <f t="shared" ref="N5:O5" si="0">N4*$C$3</f>
        <v>147976.5</v>
      </c>
      <c r="O5" s="14">
        <f t="shared" si="0"/>
        <v>357624.75</v>
      </c>
    </row>
    <row r="6" spans="2:15" ht="14.7" thickBot="1" x14ac:dyDescent="0.55000000000000004">
      <c r="B6" s="6">
        <v>269.39999999999998</v>
      </c>
      <c r="C6" s="7">
        <v>59900</v>
      </c>
      <c r="D6" s="33">
        <v>188.55</v>
      </c>
      <c r="E6" s="54" t="s">
        <v>70</v>
      </c>
      <c r="F6" s="65" t="str">
        <f>Nifty!F6</f>
        <v>Log - Net Profit</v>
      </c>
      <c r="G6" s="49">
        <f>Nifty!G6</f>
        <v>0</v>
      </c>
      <c r="H6" s="49" t="str">
        <f>Nifty!H6</f>
        <v>Total Trades</v>
      </c>
      <c r="I6" s="50">
        <f>Nifty!I6</f>
        <v>0</v>
      </c>
      <c r="J6" s="122" t="s">
        <v>48</v>
      </c>
      <c r="K6" s="123"/>
      <c r="L6" s="121"/>
      <c r="M6" s="19">
        <v>-414</v>
      </c>
      <c r="N6" s="20">
        <v>-298</v>
      </c>
      <c r="O6" s="21">
        <v>-712</v>
      </c>
    </row>
    <row r="7" spans="2:15" ht="15" customHeight="1" x14ac:dyDescent="0.5">
      <c r="B7" s="101" t="s">
        <v>75</v>
      </c>
      <c r="C7" s="102"/>
      <c r="D7" s="103"/>
      <c r="E7" s="32" t="s">
        <v>55</v>
      </c>
      <c r="F7" s="23" t="str">
        <f>Nifty!F7</f>
        <v>V - Profit</v>
      </c>
      <c r="G7" s="24">
        <f>Nifty!G7</f>
        <v>0</v>
      </c>
      <c r="H7" s="73" t="str">
        <f>Nifty!H7</f>
        <v>Timer (Seconds)</v>
      </c>
      <c r="I7" s="74">
        <v>22</v>
      </c>
      <c r="J7" s="132" t="s">
        <v>53</v>
      </c>
      <c r="K7" s="133"/>
      <c r="L7" s="134"/>
      <c r="M7" s="92" t="s">
        <v>20</v>
      </c>
      <c r="N7" s="93"/>
      <c r="O7" s="94"/>
    </row>
    <row r="8" spans="2:15" x14ac:dyDescent="0.5">
      <c r="B8" s="126" t="s">
        <v>22</v>
      </c>
      <c r="C8" s="127"/>
      <c r="D8" s="127"/>
      <c r="E8" s="128"/>
      <c r="F8" s="25" t="str">
        <f>Nifty!F8</f>
        <v>V - Brokerage</v>
      </c>
      <c r="G8" s="5">
        <f>Nifty!G8</f>
        <v>0</v>
      </c>
      <c r="H8" s="75" t="str">
        <f>Nifty!H8</f>
        <v>Trade CE</v>
      </c>
      <c r="I8" s="76">
        <v>0</v>
      </c>
      <c r="J8" s="132"/>
      <c r="K8" s="133"/>
      <c r="L8" s="134"/>
      <c r="M8" s="6" t="s">
        <v>2</v>
      </c>
      <c r="N8" s="7" t="s">
        <v>0</v>
      </c>
      <c r="O8" s="8" t="s">
        <v>19</v>
      </c>
    </row>
    <row r="9" spans="2:15" x14ac:dyDescent="0.5">
      <c r="B9" s="42">
        <v>0</v>
      </c>
      <c r="C9" s="18" t="s">
        <v>43</v>
      </c>
      <c r="D9" s="18">
        <v>0</v>
      </c>
      <c r="E9" s="43" t="s">
        <v>73</v>
      </c>
      <c r="F9" s="25" t="str">
        <f>Nifty!F9</f>
        <v>V - Net Profit</v>
      </c>
      <c r="G9" s="5">
        <f>Nifty!G9</f>
        <v>0</v>
      </c>
      <c r="H9" s="75" t="str">
        <f>Nifty!H9</f>
        <v>Trade PE</v>
      </c>
      <c r="I9" s="76">
        <v>0</v>
      </c>
      <c r="J9" s="135" t="s">
        <v>49</v>
      </c>
      <c r="K9" s="136"/>
      <c r="L9" s="137"/>
      <c r="M9" s="9">
        <v>250005.45500000002</v>
      </c>
      <c r="N9" s="10">
        <v>251335.38500000001</v>
      </c>
      <c r="O9" s="11">
        <v>290596.14500000002</v>
      </c>
    </row>
    <row r="10" spans="2:15" ht="14.7" thickBot="1" x14ac:dyDescent="0.55000000000000004">
      <c r="B10" s="16" t="s">
        <v>39</v>
      </c>
      <c r="C10" s="17" t="s">
        <v>40</v>
      </c>
      <c r="D10" s="3" t="s">
        <v>67</v>
      </c>
      <c r="E10" s="40" t="s">
        <v>68</v>
      </c>
      <c r="F10" s="25" t="str">
        <f>Nifty!F10</f>
        <v>Points</v>
      </c>
      <c r="G10" s="5">
        <f>Nifty!G10</f>
        <v>0</v>
      </c>
      <c r="H10" s="77" t="s">
        <v>71</v>
      </c>
      <c r="I10" s="78">
        <v>0</v>
      </c>
      <c r="J10" s="135" t="s">
        <v>50</v>
      </c>
      <c r="K10" s="136"/>
      <c r="L10" s="137"/>
      <c r="M10" s="12">
        <f>M9*$C$3</f>
        <v>4250092.7350000003</v>
      </c>
      <c r="N10" s="13">
        <f t="shared" ref="N10:O10" si="1">N9*$C$3</f>
        <v>4272701.5449999999</v>
      </c>
      <c r="O10" s="14">
        <f t="shared" si="1"/>
        <v>4940134.4649999999</v>
      </c>
    </row>
    <row r="11" spans="2:15" ht="14.7" thickBot="1" x14ac:dyDescent="0.55000000000000004">
      <c r="B11" s="44" t="s">
        <v>41</v>
      </c>
      <c r="C11" s="51" t="s">
        <v>42</v>
      </c>
      <c r="D11" s="46">
        <v>0</v>
      </c>
      <c r="E11" s="47">
        <v>0</v>
      </c>
      <c r="F11" s="125" t="str">
        <f>Nifty!F11</f>
        <v>Positives &amp; Negatives (Virt)</v>
      </c>
      <c r="G11" s="105">
        <f>Nifty!G11</f>
        <v>0</v>
      </c>
      <c r="H11" s="26">
        <f>Nifty!H11</f>
        <v>0</v>
      </c>
      <c r="I11" s="27">
        <f>Nifty!I11</f>
        <v>0</v>
      </c>
      <c r="J11" s="138" t="s">
        <v>51</v>
      </c>
      <c r="K11" s="139"/>
      <c r="L11" s="140"/>
      <c r="M11" s="95" t="s">
        <v>21</v>
      </c>
      <c r="N11" s="96"/>
      <c r="O11" s="97"/>
    </row>
    <row r="12" spans="2:15" ht="14.7" thickBot="1" x14ac:dyDescent="0.55000000000000004">
      <c r="B12" s="86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8"/>
    </row>
    <row r="14" spans="2:15" x14ac:dyDescent="0.5">
      <c r="G14" s="15"/>
      <c r="I14" s="15"/>
      <c r="N14" s="1"/>
    </row>
    <row r="17" spans="7:9" x14ac:dyDescent="0.5">
      <c r="G17" s="15"/>
      <c r="I17" s="15"/>
    </row>
  </sheetData>
  <mergeCells count="19">
    <mergeCell ref="B12:O12"/>
    <mergeCell ref="M2:O2"/>
    <mergeCell ref="M7:O7"/>
    <mergeCell ref="M11:O11"/>
    <mergeCell ref="B7:D7"/>
    <mergeCell ref="B8:E8"/>
    <mergeCell ref="J2:L2"/>
    <mergeCell ref="J3:L3"/>
    <mergeCell ref="J7:L8"/>
    <mergeCell ref="J9:L9"/>
    <mergeCell ref="J10:L10"/>
    <mergeCell ref="J11:L11"/>
    <mergeCell ref="J4:K4"/>
    <mergeCell ref="L4:L6"/>
    <mergeCell ref="J5:K5"/>
    <mergeCell ref="J6:K6"/>
    <mergeCell ref="H1:I1"/>
    <mergeCell ref="F11:G11"/>
    <mergeCell ref="J1:O1"/>
  </mergeCells>
  <conditionalFormatting sqref="J14:M14">
    <cfRule type="cellIs" dxfId="7" priority="9" operator="lessThan">
      <formula>0</formula>
    </cfRule>
    <cfRule type="cellIs" dxfId="6" priority="10" operator="greaterThan">
      <formula>0</formula>
    </cfRule>
  </conditionalFormatting>
  <conditionalFormatting sqref="J17:M17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zoomScale="115" zoomScaleNormal="115" workbookViewId="0">
      <selection activeCell="H22" sqref="H22"/>
    </sheetView>
  </sheetViews>
  <sheetFormatPr defaultRowHeight="14.35" x14ac:dyDescent="0.5"/>
  <cols>
    <col min="1" max="1" width="2" bestFit="1" customWidth="1"/>
    <col min="2" max="2" width="14.1171875" customWidth="1"/>
    <col min="3" max="3" width="11.1171875" bestFit="1" customWidth="1"/>
    <col min="4" max="4" width="10" customWidth="1"/>
    <col min="5" max="5" width="13" customWidth="1"/>
    <col min="6" max="6" width="13.87890625" bestFit="1" customWidth="1"/>
    <col min="7" max="7" width="10.41015625" customWidth="1"/>
    <col min="8" max="8" width="15.41015625" bestFit="1" customWidth="1"/>
    <col min="12" max="12" width="13.3515625" customWidth="1"/>
    <col min="13" max="15" width="12" bestFit="1" customWidth="1"/>
  </cols>
  <sheetData>
    <row r="1" spans="1:15" ht="14.7" thickBot="1" x14ac:dyDescent="0.55000000000000004">
      <c r="B1" s="39" t="s">
        <v>7</v>
      </c>
      <c r="C1" s="52">
        <v>85321.18</v>
      </c>
      <c r="D1" s="30" t="s">
        <v>36</v>
      </c>
      <c r="E1" s="31">
        <v>50</v>
      </c>
      <c r="F1" s="53" t="str">
        <f>Nifty!F1</f>
        <v>Avail. Marg.</v>
      </c>
      <c r="G1" s="24">
        <f>Nifty!G1</f>
        <v>28255.040000000001</v>
      </c>
      <c r="H1" s="84" t="str">
        <f>Nifty!H1</f>
        <v>Positives &amp; Negatives (Real)</v>
      </c>
      <c r="I1" s="124">
        <f>Nifty!I1</f>
        <v>0</v>
      </c>
      <c r="J1" s="106" t="s">
        <v>84</v>
      </c>
      <c r="K1" s="107"/>
      <c r="L1" s="107"/>
      <c r="M1" s="107"/>
      <c r="N1" s="107"/>
      <c r="O1" s="108"/>
    </row>
    <row r="2" spans="1:15" ht="14.7" thickBot="1" x14ac:dyDescent="0.55000000000000004">
      <c r="B2" s="36" t="s">
        <v>4</v>
      </c>
      <c r="C2" s="57">
        <v>20</v>
      </c>
      <c r="D2" s="30" t="s">
        <v>2</v>
      </c>
      <c r="E2" s="2" t="s">
        <v>0</v>
      </c>
      <c r="F2" s="28" t="str">
        <f>Nifty!F2</f>
        <v>Used. Marg.</v>
      </c>
      <c r="G2" s="5">
        <f>Nifty!G2</f>
        <v>0</v>
      </c>
      <c r="H2" s="3">
        <f>Nifty!H2</f>
        <v>0</v>
      </c>
      <c r="I2" s="34">
        <f>Nifty!I2</f>
        <v>0</v>
      </c>
      <c r="J2" s="109" t="s">
        <v>45</v>
      </c>
      <c r="K2" s="110"/>
      <c r="L2" s="110"/>
      <c r="M2" s="89" t="s">
        <v>18</v>
      </c>
      <c r="N2" s="90"/>
      <c r="O2" s="91"/>
    </row>
    <row r="3" spans="1:15" x14ac:dyDescent="0.5">
      <c r="B3" s="36" t="s">
        <v>1</v>
      </c>
      <c r="C3" s="58">
        <v>1</v>
      </c>
      <c r="D3" s="61" t="s">
        <v>77</v>
      </c>
      <c r="E3" s="60" t="s">
        <v>78</v>
      </c>
      <c r="F3" s="28" t="str">
        <f>Nifty!F3</f>
        <v>UpStox PNL</v>
      </c>
      <c r="G3" s="5">
        <f>Nifty!G3</f>
        <v>0</v>
      </c>
      <c r="H3" s="4" t="str">
        <f>Nifty!H3</f>
        <v>Trade Accuracy</v>
      </c>
      <c r="I3" s="35" t="str">
        <f>Nifty!I3</f>
        <v>None %</v>
      </c>
      <c r="J3" s="142" t="s">
        <v>52</v>
      </c>
      <c r="K3" s="117"/>
      <c r="L3" s="118"/>
      <c r="M3" s="42" t="s">
        <v>2</v>
      </c>
      <c r="N3" s="18" t="s">
        <v>0</v>
      </c>
      <c r="O3" s="48" t="s">
        <v>19</v>
      </c>
    </row>
    <row r="4" spans="1:15" x14ac:dyDescent="0.5">
      <c r="B4" s="36" t="s">
        <v>8</v>
      </c>
      <c r="C4" s="59">
        <v>46030</v>
      </c>
      <c r="D4" s="62" t="s">
        <v>85</v>
      </c>
      <c r="E4" s="60" t="s">
        <v>83</v>
      </c>
      <c r="F4" s="63" t="str">
        <f>Nifty!F4</f>
        <v>Log - Profit</v>
      </c>
      <c r="G4" s="4">
        <f>Nifty!G4</f>
        <v>0</v>
      </c>
      <c r="H4" s="4" t="str">
        <f>Nifty!H4</f>
        <v>Profit Trades</v>
      </c>
      <c r="I4" s="37">
        <f>Nifty!I4</f>
        <v>0</v>
      </c>
      <c r="J4" s="141" t="s">
        <v>46</v>
      </c>
      <c r="K4" s="80"/>
      <c r="L4" s="81" t="s">
        <v>54</v>
      </c>
      <c r="M4" s="9">
        <v>6716</v>
      </c>
      <c r="N4" s="10">
        <v>4965</v>
      </c>
      <c r="O4" s="11">
        <v>11681</v>
      </c>
    </row>
    <row r="5" spans="1:15" ht="14.7" thickBot="1" x14ac:dyDescent="0.55000000000000004">
      <c r="B5" s="41" t="s">
        <v>37</v>
      </c>
      <c r="C5" s="3" t="s">
        <v>3</v>
      </c>
      <c r="D5" s="62" t="s">
        <v>38</v>
      </c>
      <c r="E5" s="2" t="s">
        <v>79</v>
      </c>
      <c r="F5" s="63" t="str">
        <f>Nifty!F5</f>
        <v>Log - Brokerage</v>
      </c>
      <c r="G5" s="4">
        <f>Nifty!G5</f>
        <v>0</v>
      </c>
      <c r="H5" s="4" t="str">
        <f>Nifty!H5</f>
        <v>Loss Trades</v>
      </c>
      <c r="I5" s="37">
        <f>Nifty!I5</f>
        <v>0</v>
      </c>
      <c r="J5" s="141" t="s">
        <v>47</v>
      </c>
      <c r="K5" s="80"/>
      <c r="L5" s="82"/>
      <c r="M5" s="12">
        <f>M4*$C$3</f>
        <v>6716</v>
      </c>
      <c r="N5" s="13">
        <f t="shared" ref="N5:O5" si="0">N4*$C$3</f>
        <v>4965</v>
      </c>
      <c r="O5" s="14">
        <f t="shared" si="0"/>
        <v>11681</v>
      </c>
    </row>
    <row r="6" spans="1:15" ht="14.7" thickBot="1" x14ac:dyDescent="0.55000000000000004">
      <c r="B6" s="6">
        <v>309.85000000000002</v>
      </c>
      <c r="C6" s="7">
        <v>83100</v>
      </c>
      <c r="D6" s="33">
        <v>211.45</v>
      </c>
      <c r="E6" s="54" t="s">
        <v>81</v>
      </c>
      <c r="F6" s="65" t="str">
        <f>Nifty!F6</f>
        <v>Log - Net Profit</v>
      </c>
      <c r="G6" s="49">
        <f>Nifty!G6</f>
        <v>0</v>
      </c>
      <c r="H6" s="49" t="str">
        <f>Nifty!H6</f>
        <v>Total Trades</v>
      </c>
      <c r="I6" s="50">
        <f>Nifty!I6</f>
        <v>0</v>
      </c>
      <c r="J6" s="141" t="s">
        <v>48</v>
      </c>
      <c r="K6" s="80"/>
      <c r="L6" s="83"/>
      <c r="M6" s="19">
        <v>-36</v>
      </c>
      <c r="N6" s="20">
        <v>-32</v>
      </c>
      <c r="O6" s="21">
        <v>-68</v>
      </c>
    </row>
    <row r="7" spans="1:15" ht="15" customHeight="1" x14ac:dyDescent="0.5">
      <c r="B7" s="101" t="s">
        <v>76</v>
      </c>
      <c r="C7" s="102"/>
      <c r="D7" s="103"/>
      <c r="E7" s="32" t="s">
        <v>56</v>
      </c>
      <c r="F7" s="23" t="str">
        <f>Nifty!F7</f>
        <v>V - Profit</v>
      </c>
      <c r="G7" s="24">
        <f>Nifty!G7</f>
        <v>0</v>
      </c>
      <c r="H7" s="73" t="str">
        <f>Nifty!H7</f>
        <v>Timer (Seconds)</v>
      </c>
      <c r="I7" s="74">
        <v>13</v>
      </c>
      <c r="J7" s="143" t="s">
        <v>53</v>
      </c>
      <c r="K7" s="115"/>
      <c r="L7" s="116"/>
      <c r="M7" s="92" t="s">
        <v>20</v>
      </c>
      <c r="N7" s="93"/>
      <c r="O7" s="94"/>
    </row>
    <row r="8" spans="1:15" x14ac:dyDescent="0.5">
      <c r="B8" s="126" t="s">
        <v>35</v>
      </c>
      <c r="C8" s="99"/>
      <c r="D8" s="99"/>
      <c r="E8" s="100"/>
      <c r="F8" s="25" t="str">
        <f>Nifty!F8</f>
        <v>V - Brokerage</v>
      </c>
      <c r="G8" s="5">
        <f>Nifty!G8</f>
        <v>0</v>
      </c>
      <c r="H8" s="75" t="str">
        <f>Nifty!H8</f>
        <v>Trade CE</v>
      </c>
      <c r="I8" s="76">
        <v>0</v>
      </c>
      <c r="J8" s="143"/>
      <c r="K8" s="115"/>
      <c r="L8" s="116"/>
      <c r="M8" s="6" t="s">
        <v>2</v>
      </c>
      <c r="N8" s="7" t="s">
        <v>0</v>
      </c>
      <c r="O8" s="8" t="s">
        <v>19</v>
      </c>
    </row>
    <row r="9" spans="1:15" x14ac:dyDescent="0.5">
      <c r="B9" s="42">
        <v>0</v>
      </c>
      <c r="C9" s="18" t="s">
        <v>43</v>
      </c>
      <c r="D9" s="18">
        <v>0</v>
      </c>
      <c r="E9" s="43" t="s">
        <v>82</v>
      </c>
      <c r="F9" s="25" t="str">
        <f>Nifty!F9</f>
        <v>V - Net Profit</v>
      </c>
      <c r="G9" s="5">
        <f>Nifty!G9</f>
        <v>0</v>
      </c>
      <c r="H9" s="75" t="str">
        <f>Nifty!H9</f>
        <v>Trade PE</v>
      </c>
      <c r="I9" s="76">
        <v>0</v>
      </c>
      <c r="J9" s="144" t="s">
        <v>49</v>
      </c>
      <c r="K9" s="111"/>
      <c r="L9" s="112"/>
      <c r="M9" s="9">
        <v>202084.40800000002</v>
      </c>
      <c r="N9" s="10">
        <v>180244.79200000002</v>
      </c>
      <c r="O9" s="11">
        <v>236033.14</v>
      </c>
    </row>
    <row r="10" spans="1:15" ht="14.7" thickBot="1" x14ac:dyDescent="0.55000000000000004">
      <c r="B10" s="16" t="s">
        <v>39</v>
      </c>
      <c r="C10" s="17" t="s">
        <v>40</v>
      </c>
      <c r="D10" s="3" t="s">
        <v>67</v>
      </c>
      <c r="E10" s="40" t="s">
        <v>68</v>
      </c>
      <c r="F10" s="25" t="str">
        <f>Nifty!F10</f>
        <v>Points</v>
      </c>
      <c r="G10" s="5">
        <f>Nifty!G10</f>
        <v>0</v>
      </c>
      <c r="H10" s="77" t="s">
        <v>71</v>
      </c>
      <c r="I10" s="78">
        <v>0</v>
      </c>
      <c r="J10" s="144" t="s">
        <v>50</v>
      </c>
      <c r="K10" s="111"/>
      <c r="L10" s="112"/>
      <c r="M10" s="12">
        <f>M9*$C$3</f>
        <v>202084.40800000002</v>
      </c>
      <c r="N10" s="13">
        <f t="shared" ref="N10:O10" si="1">N9*$C$3</f>
        <v>180244.79200000002</v>
      </c>
      <c r="O10" s="14">
        <f t="shared" si="1"/>
        <v>236033.14</v>
      </c>
    </row>
    <row r="11" spans="1:15" ht="14.7" thickBot="1" x14ac:dyDescent="0.55000000000000004">
      <c r="B11" s="44" t="s">
        <v>41</v>
      </c>
      <c r="C11" s="51" t="s">
        <v>42</v>
      </c>
      <c r="D11" s="79">
        <v>0</v>
      </c>
      <c r="E11" s="47">
        <v>0</v>
      </c>
      <c r="F11" s="125" t="str">
        <f>Nifty!F11</f>
        <v>Positives &amp; Negatives (Virt)</v>
      </c>
      <c r="G11" s="105">
        <f>Nifty!G11</f>
        <v>0</v>
      </c>
      <c r="H11" s="26">
        <f>Nifty!H11</f>
        <v>0</v>
      </c>
      <c r="I11" s="27">
        <f>Nifty!I11</f>
        <v>0</v>
      </c>
      <c r="J11" s="145" t="s">
        <v>51</v>
      </c>
      <c r="K11" s="113"/>
      <c r="L11" s="114"/>
      <c r="M11" s="95" t="s">
        <v>21</v>
      </c>
      <c r="N11" s="96"/>
      <c r="O11" s="97"/>
    </row>
    <row r="12" spans="1:15" ht="14.7" thickBot="1" x14ac:dyDescent="0.55000000000000004">
      <c r="B12" s="86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8"/>
    </row>
    <row r="13" spans="1:15" x14ac:dyDescent="0.5">
      <c r="B13" t="s">
        <v>23</v>
      </c>
      <c r="C13" t="s">
        <v>3</v>
      </c>
      <c r="D13" t="s">
        <v>24</v>
      </c>
      <c r="E13" t="s">
        <v>1</v>
      </c>
      <c r="F13" t="s">
        <v>25</v>
      </c>
      <c r="G13" t="s">
        <v>26</v>
      </c>
      <c r="H13" t="s">
        <v>27</v>
      </c>
      <c r="I13" t="s">
        <v>28</v>
      </c>
      <c r="J13" t="s">
        <v>29</v>
      </c>
      <c r="K13" t="s">
        <v>30</v>
      </c>
      <c r="L13" t="s">
        <v>31</v>
      </c>
      <c r="M13" t="s">
        <v>32</v>
      </c>
      <c r="N13" t="s">
        <v>33</v>
      </c>
      <c r="O13" t="s">
        <v>34</v>
      </c>
    </row>
    <row r="14" spans="1:15" x14ac:dyDescent="0.5">
      <c r="A14">
        <v>0</v>
      </c>
      <c r="B14" t="s">
        <v>7</v>
      </c>
      <c r="C14">
        <v>84700</v>
      </c>
      <c r="D14" t="s">
        <v>2</v>
      </c>
      <c r="E14">
        <v>1</v>
      </c>
      <c r="F14">
        <v>20</v>
      </c>
      <c r="G14" s="15">
        <v>316.5</v>
      </c>
      <c r="H14">
        <v>313.25</v>
      </c>
      <c r="I14" s="15">
        <v>311.8</v>
      </c>
      <c r="J14">
        <v>-3.25</v>
      </c>
      <c r="K14">
        <v>-65</v>
      </c>
      <c r="L14">
        <v>-35</v>
      </c>
      <c r="M14">
        <v>-100</v>
      </c>
      <c r="N14" s="1">
        <v>-1.5800000000000002E-2</v>
      </c>
      <c r="O14">
        <v>6330</v>
      </c>
    </row>
    <row r="16" spans="1:15" x14ac:dyDescent="0.5">
      <c r="B16" t="s">
        <v>23</v>
      </c>
      <c r="C16" t="s">
        <v>3</v>
      </c>
      <c r="D16" t="s">
        <v>24</v>
      </c>
      <c r="E16" t="s">
        <v>1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  <c r="K16" t="s">
        <v>30</v>
      </c>
      <c r="L16" t="s">
        <v>31</v>
      </c>
      <c r="M16" t="s">
        <v>32</v>
      </c>
    </row>
    <row r="17" spans="1:13" x14ac:dyDescent="0.5">
      <c r="A17">
        <v>0</v>
      </c>
      <c r="B17" t="s">
        <v>7</v>
      </c>
      <c r="C17">
        <v>84700</v>
      </c>
      <c r="D17" t="s">
        <v>2</v>
      </c>
      <c r="E17">
        <v>50</v>
      </c>
      <c r="F17">
        <v>1000</v>
      </c>
      <c r="G17" s="15">
        <v>316.5</v>
      </c>
      <c r="H17">
        <v>313.25</v>
      </c>
      <c r="I17" s="15">
        <v>311.8</v>
      </c>
      <c r="J17">
        <v>-3.25</v>
      </c>
      <c r="K17">
        <v>-3250</v>
      </c>
      <c r="L17">
        <v>-607</v>
      </c>
      <c r="M17">
        <v>-3857</v>
      </c>
    </row>
  </sheetData>
  <mergeCells count="19">
    <mergeCell ref="B12:O12"/>
    <mergeCell ref="M2:O2"/>
    <mergeCell ref="M7:O7"/>
    <mergeCell ref="M11:O11"/>
    <mergeCell ref="B7:D7"/>
    <mergeCell ref="B8:E8"/>
    <mergeCell ref="J2:L2"/>
    <mergeCell ref="J3:L3"/>
    <mergeCell ref="J7:L8"/>
    <mergeCell ref="J9:L9"/>
    <mergeCell ref="J10:L10"/>
    <mergeCell ref="J11:L11"/>
    <mergeCell ref="J4:K4"/>
    <mergeCell ref="L4:L6"/>
    <mergeCell ref="J5:K5"/>
    <mergeCell ref="J6:K6"/>
    <mergeCell ref="H1:I1"/>
    <mergeCell ref="F11:G11"/>
    <mergeCell ref="J1:O1"/>
  </mergeCells>
  <conditionalFormatting sqref="J14:M14">
    <cfRule type="cellIs" dxfId="3" priority="9" operator="lessThan">
      <formula>0</formula>
    </cfRule>
    <cfRule type="cellIs" dxfId="2" priority="10" operator="greaterThan">
      <formula>0</formula>
    </cfRule>
  </conditionalFormatting>
  <conditionalFormatting sqref="J17:M17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Nifty</vt:lpstr>
      <vt:lpstr>Bank-Nifty</vt:lpstr>
      <vt:lpstr>Sensex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2026-01-19T07:52:20Z</dcterms:modified>
</cp:coreProperties>
</file>